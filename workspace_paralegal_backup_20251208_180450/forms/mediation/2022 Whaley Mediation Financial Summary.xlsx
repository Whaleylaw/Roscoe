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wha\Desktop\Whaley Firm Docs - Updates\Litigation Templates\"/>
    </mc:Choice>
  </mc:AlternateContent>
  <xr:revisionPtr revIDLastSave="0" documentId="13_ncr:1_{033E7B7E-6FFF-4C99-B868-2044841A317E}" xr6:coauthVersionLast="47" xr6:coauthVersionMax="47" xr10:uidLastSave="{00000000-0000-0000-0000-000000000000}"/>
  <bookViews>
    <workbookView xWindow="31725" yWindow="1545" windowWidth="21600" windowHeight="11835" xr2:uid="{A13E747D-A977-4ED6-BED8-8E8E1BEB08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4" i="1" l="1"/>
  <c r="F26" i="1"/>
  <c r="B26" i="1"/>
  <c r="E13" i="1"/>
  <c r="F12" i="1"/>
  <c r="F8" i="1"/>
  <c r="F9" i="1"/>
  <c r="F10" i="1"/>
  <c r="F11" i="1"/>
  <c r="B13" i="1"/>
  <c r="F7" i="1"/>
  <c r="F19" i="1"/>
  <c r="F6" i="1"/>
  <c r="F5" i="1"/>
  <c r="F13" i="1" s="1"/>
  <c r="D13" i="1"/>
  <c r="C13" i="1"/>
  <c r="F23" i="1"/>
  <c r="C26" i="1"/>
  <c r="D26" i="1"/>
  <c r="C19" i="1"/>
  <c r="D19" i="1"/>
  <c r="B19" i="1"/>
</calcChain>
</file>

<file path=xl/sharedStrings.xml><?xml version="1.0" encoding="utf-8"?>
<sst xmlns="http://schemas.openxmlformats.org/spreadsheetml/2006/main" count="37" uniqueCount="32">
  <si>
    <t>Provider</t>
  </si>
  <si>
    <t>Billed</t>
  </si>
  <si>
    <t>PIP</t>
  </si>
  <si>
    <t>PHI</t>
  </si>
  <si>
    <t xml:space="preserve">Balance </t>
  </si>
  <si>
    <t>Notes</t>
  </si>
  <si>
    <t>Legal Lending</t>
  </si>
  <si>
    <t>Expenses</t>
  </si>
  <si>
    <t>Borrowed</t>
  </si>
  <si>
    <t>PayBack Due</t>
  </si>
  <si>
    <t>Expense Paid</t>
  </si>
  <si>
    <t>Medical Damages</t>
  </si>
  <si>
    <t>Lender</t>
  </si>
  <si>
    <t>Vendor</t>
  </si>
  <si>
    <t>Totals</t>
  </si>
  <si>
    <t>Fees</t>
  </si>
  <si>
    <t>Adjustments</t>
  </si>
  <si>
    <t>Filing Fee</t>
  </si>
  <si>
    <t>Donna Smith S&amp;F 08/31/2020</t>
  </si>
  <si>
    <t>Norton Hospital - Brownsboro</t>
  </si>
  <si>
    <t>Norton CMA - Brownsboro</t>
  </si>
  <si>
    <t>Southern Emergency Medical Spe</t>
  </si>
  <si>
    <t xml:space="preserve">Norton Orthopedic Institute </t>
  </si>
  <si>
    <t>Louisville Arm &amp; Hand</t>
  </si>
  <si>
    <t>Gould's Discount Medical</t>
  </si>
  <si>
    <t>Diagnostic Imaging Alliance</t>
  </si>
  <si>
    <t>Aptiva Health (formerly IMS)</t>
  </si>
  <si>
    <t>Client Co-Pay: $60.00</t>
  </si>
  <si>
    <t>US Legal Support - Court Reporter</t>
  </si>
  <si>
    <t>Jefferson County Circuit Court</t>
  </si>
  <si>
    <t>Plaintiff Deposition Transcripts</t>
  </si>
  <si>
    <t>Awaiting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</si>
</sst>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dobe Devanagari"/>
      <family val="1"/>
    </font>
    <font>
      <b/>
      <sz val="12"/>
      <color theme="1"/>
      <name val="Adobe Devanagari"/>
      <family val="1"/>
    </font>
    <font>
      <b/>
      <u/>
      <sz val="12"/>
      <color theme="1"/>
      <name val="Adobe Devanagari"/>
      <family val="1"/>
    </font>
    <font>
      <sz val="12"/>
      <name val="Adobe Devanagari"/>
      <family val="1"/>
    </font>
    <font>
      <b/>
      <sz val="12"/>
      <name val="Adobe Devanagari"/>
      <family val="1"/>
    </font>
    <font>
      <u/>
      <sz val="20"/>
      <color theme="1"/>
      <name val="Adobe Devanagari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Border="1"/>
    <xf numFmtId="164" fontId="1" fillId="0" borderId="0" xfId="0" applyNumberFormat="1" applyFont="1" applyBorder="1"/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0" fontId="2" fillId="0" borderId="2" xfId="0" applyFont="1" applyBorder="1"/>
    <xf numFmtId="164" fontId="2" fillId="0" borderId="2" xfId="0" applyNumberFormat="1" applyFont="1" applyBorder="1"/>
    <xf numFmtId="0" fontId="1" fillId="0" borderId="2" xfId="0" applyFont="1" applyBorder="1" applyAlignment="1">
      <alignment horizontal="right"/>
    </xf>
    <xf numFmtId="0" fontId="5" fillId="0" borderId="2" xfId="0" applyFont="1" applyFill="1" applyBorder="1"/>
    <xf numFmtId="164" fontId="5" fillId="0" borderId="2" xfId="0" applyNumberFormat="1" applyFont="1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E8EC-18DE-4168-A5E5-A3E8A9B86DE8}">
  <sheetPr>
    <pageSetUpPr fitToPage="1"/>
  </sheetPr>
  <dimension ref="A1:H26"/>
  <sheetViews>
    <sheetView tabSelected="1" topLeftCell="A16" zoomScaleNormal="100" workbookViewId="0">
      <selection activeCell="E24" sqref="E24"/>
    </sheetView>
  </sheetViews>
  <sheetFormatPr defaultRowHeight="18.75" x14ac:dyDescent="0.45"/>
  <cols>
    <col min="1" max="1" width="32.42578125" style="1" customWidth="1"/>
    <col min="2" max="5" width="12" style="2" customWidth="1"/>
    <col min="6" max="6" width="13.7109375" style="2" customWidth="1"/>
    <col min="7" max="7" width="8.140625" style="1" customWidth="1"/>
    <col min="8" max="8" width="29.5703125" style="14" customWidth="1"/>
    <col min="9" max="16384" width="9.140625" style="1"/>
  </cols>
  <sheetData>
    <row r="1" spans="1:8" ht="30.75" x14ac:dyDescent="0.7">
      <c r="A1" s="21" t="s">
        <v>18</v>
      </c>
      <c r="B1" s="21"/>
      <c r="C1" s="21"/>
      <c r="D1" s="21"/>
      <c r="E1" s="21"/>
      <c r="F1" s="21"/>
      <c r="G1" s="21"/>
      <c r="H1" s="21"/>
    </row>
    <row r="2" spans="1:8" x14ac:dyDescent="0.45">
      <c r="A2" s="3"/>
    </row>
    <row r="3" spans="1:8" x14ac:dyDescent="0.45">
      <c r="A3" s="22" t="s">
        <v>11</v>
      </c>
      <c r="B3" s="22"/>
      <c r="C3" s="22"/>
      <c r="D3" s="22"/>
      <c r="E3" s="22"/>
      <c r="F3" s="22"/>
      <c r="G3" s="22"/>
      <c r="H3" s="22"/>
    </row>
    <row r="4" spans="1:8" s="6" customFormat="1" x14ac:dyDescent="0.45">
      <c r="A4" s="11" t="s">
        <v>0</v>
      </c>
      <c r="B4" s="13" t="s">
        <v>1</v>
      </c>
      <c r="C4" s="13" t="s">
        <v>2</v>
      </c>
      <c r="D4" s="13" t="s">
        <v>3</v>
      </c>
      <c r="E4" s="13" t="s">
        <v>16</v>
      </c>
      <c r="F4" s="13" t="s">
        <v>4</v>
      </c>
      <c r="G4" s="5"/>
      <c r="H4" s="11" t="s">
        <v>5</v>
      </c>
    </row>
    <row r="5" spans="1:8" x14ac:dyDescent="0.45">
      <c r="A5" s="1" t="s">
        <v>19</v>
      </c>
      <c r="B5" s="2">
        <v>2503.41</v>
      </c>
      <c r="C5" s="2">
        <v>0</v>
      </c>
      <c r="D5" s="2">
        <v>0</v>
      </c>
      <c r="E5" s="2">
        <v>0</v>
      </c>
      <c r="F5" s="2">
        <f>(B5-C5-D5-E5)</f>
        <v>2503.41</v>
      </c>
    </row>
    <row r="6" spans="1:8" x14ac:dyDescent="0.45">
      <c r="A6" s="1" t="s">
        <v>20</v>
      </c>
      <c r="B6" s="2">
        <v>2261</v>
      </c>
      <c r="C6" s="2">
        <v>0</v>
      </c>
      <c r="D6" s="2">
        <v>976.83</v>
      </c>
      <c r="E6" s="2">
        <v>1224.17</v>
      </c>
      <c r="F6" s="2">
        <f>(B6-C6-D6-E6)</f>
        <v>60</v>
      </c>
      <c r="H6" s="14" t="s">
        <v>27</v>
      </c>
    </row>
    <row r="7" spans="1:8" x14ac:dyDescent="0.45">
      <c r="A7" s="1" t="s">
        <v>21</v>
      </c>
      <c r="B7" s="2">
        <v>375</v>
      </c>
      <c r="C7" s="2">
        <v>0</v>
      </c>
      <c r="D7" s="2">
        <v>0</v>
      </c>
      <c r="E7" s="2">
        <v>0</v>
      </c>
      <c r="F7" s="2">
        <f>(B7-C7-D7-E7)</f>
        <v>375</v>
      </c>
    </row>
    <row r="8" spans="1:8" x14ac:dyDescent="0.45">
      <c r="A8" s="1" t="s">
        <v>22</v>
      </c>
      <c r="B8" s="2">
        <v>306</v>
      </c>
      <c r="C8" s="2">
        <v>0</v>
      </c>
      <c r="D8" s="2">
        <v>0</v>
      </c>
      <c r="E8" s="2">
        <v>0</v>
      </c>
      <c r="F8" s="2">
        <f t="shared" ref="F8:F11" si="0">(B8-C8-D8-E8)</f>
        <v>306</v>
      </c>
    </row>
    <row r="9" spans="1:8" x14ac:dyDescent="0.45">
      <c r="A9" s="1" t="s">
        <v>23</v>
      </c>
      <c r="B9" s="2">
        <v>772</v>
      </c>
      <c r="C9" s="2">
        <v>0</v>
      </c>
      <c r="D9" s="2">
        <v>211.8</v>
      </c>
      <c r="E9" s="2">
        <v>490.2</v>
      </c>
      <c r="F9" s="2">
        <f t="shared" si="0"/>
        <v>70.000000000000057</v>
      </c>
    </row>
    <row r="10" spans="1:8" x14ac:dyDescent="0.45">
      <c r="A10" s="1" t="s">
        <v>24</v>
      </c>
      <c r="B10" s="2">
        <v>194.13</v>
      </c>
      <c r="C10" s="2">
        <v>0</v>
      </c>
      <c r="D10" s="2">
        <v>0</v>
      </c>
      <c r="E10" s="2">
        <v>0</v>
      </c>
      <c r="F10" s="2">
        <f t="shared" si="0"/>
        <v>194.13</v>
      </c>
    </row>
    <row r="11" spans="1:8" x14ac:dyDescent="0.45">
      <c r="A11" s="1" t="s">
        <v>25</v>
      </c>
      <c r="B11" s="2">
        <v>44</v>
      </c>
      <c r="C11" s="2">
        <v>0</v>
      </c>
      <c r="D11" s="2">
        <v>0</v>
      </c>
      <c r="E11" s="2">
        <v>0</v>
      </c>
      <c r="F11" s="2">
        <f t="shared" si="0"/>
        <v>44</v>
      </c>
    </row>
    <row r="12" spans="1:8" x14ac:dyDescent="0.45">
      <c r="A12" s="1" t="s">
        <v>26</v>
      </c>
      <c r="B12" s="2">
        <v>5875</v>
      </c>
      <c r="C12" s="2">
        <v>0</v>
      </c>
      <c r="D12" s="2">
        <v>0</v>
      </c>
      <c r="E12" s="2">
        <v>0</v>
      </c>
      <c r="F12" s="2">
        <f t="shared" ref="F12" si="1">(B12-C12-D12-E12)</f>
        <v>5875</v>
      </c>
      <c r="H12" s="14" t="s">
        <v>31</v>
      </c>
    </row>
    <row r="13" spans="1:8" x14ac:dyDescent="0.45">
      <c r="A13" s="19" t="s">
        <v>14</v>
      </c>
      <c r="B13" s="20">
        <f>SUM(B5:B12)</f>
        <v>12330.54</v>
      </c>
      <c r="C13" s="20">
        <f>SUM(C5:C6)</f>
        <v>0</v>
      </c>
      <c r="D13" s="20">
        <f>SUM(D5:D6)</f>
        <v>976.83</v>
      </c>
      <c r="E13" s="20">
        <f>SUM(E5:E12)</f>
        <v>1714.3700000000001</v>
      </c>
      <c r="F13" s="20">
        <f>SUM(F5:F12)</f>
        <v>9427.5400000000009</v>
      </c>
      <c r="G13" s="7"/>
      <c r="H13" s="18"/>
    </row>
    <row r="14" spans="1:8" x14ac:dyDescent="0.45">
      <c r="B14" s="1"/>
      <c r="C14" s="1"/>
      <c r="D14" s="1"/>
      <c r="E14" s="1"/>
      <c r="F14" s="1"/>
    </row>
    <row r="15" spans="1:8" x14ac:dyDescent="0.45">
      <c r="A15" s="22" t="s">
        <v>6</v>
      </c>
      <c r="B15" s="22"/>
      <c r="C15" s="22"/>
      <c r="D15" s="22"/>
      <c r="E15" s="22"/>
      <c r="F15" s="22"/>
      <c r="G15" s="22"/>
      <c r="H15" s="22"/>
    </row>
    <row r="16" spans="1:8" s="5" customFormat="1" x14ac:dyDescent="0.45">
      <c r="A16" s="11" t="s">
        <v>12</v>
      </c>
      <c r="B16" s="12" t="s">
        <v>8</v>
      </c>
      <c r="C16" s="12"/>
      <c r="D16" s="12"/>
      <c r="E16" s="12"/>
      <c r="F16" s="12" t="s">
        <v>9</v>
      </c>
      <c r="H16" s="11" t="s">
        <v>5</v>
      </c>
    </row>
    <row r="19" spans="1:8" x14ac:dyDescent="0.45">
      <c r="A19" s="16" t="s">
        <v>14</v>
      </c>
      <c r="B19" s="17">
        <f>SUM(B17:B17)</f>
        <v>0</v>
      </c>
      <c r="C19" s="17">
        <f>SUM(C17:C17)</f>
        <v>0</v>
      </c>
      <c r="D19" s="17">
        <f>SUM(D17:D17)</f>
        <v>0</v>
      </c>
      <c r="E19" s="17"/>
      <c r="F19" s="17">
        <f>SUM(F17:F18)</f>
        <v>0</v>
      </c>
      <c r="G19" s="7"/>
      <c r="H19" s="18"/>
    </row>
    <row r="21" spans="1:8" x14ac:dyDescent="0.45">
      <c r="A21" s="22" t="s">
        <v>7</v>
      </c>
      <c r="B21" s="22"/>
      <c r="C21" s="22"/>
      <c r="D21" s="22"/>
      <c r="E21" s="22"/>
      <c r="F21" s="22"/>
      <c r="G21" s="22"/>
      <c r="H21" s="22"/>
    </row>
    <row r="22" spans="1:8" s="4" customFormat="1" x14ac:dyDescent="0.45">
      <c r="A22" s="9" t="s">
        <v>13</v>
      </c>
      <c r="B22" s="10" t="s">
        <v>1</v>
      </c>
      <c r="C22" s="10" t="s">
        <v>15</v>
      </c>
      <c r="D22" s="10"/>
      <c r="E22" s="10"/>
      <c r="F22" s="10" t="s">
        <v>10</v>
      </c>
      <c r="H22" s="11" t="s">
        <v>5</v>
      </c>
    </row>
    <row r="23" spans="1:8" s="7" customFormat="1" x14ac:dyDescent="0.45">
      <c r="A23" s="7" t="s">
        <v>29</v>
      </c>
      <c r="B23" s="8">
        <v>289.54000000000002</v>
      </c>
      <c r="C23" s="8"/>
      <c r="D23" s="8"/>
      <c r="E23" s="8"/>
      <c r="F23" s="8">
        <f>SUM(B23:D23)</f>
        <v>289.54000000000002</v>
      </c>
      <c r="H23" s="15" t="s">
        <v>17</v>
      </c>
    </row>
    <row r="24" spans="1:8" s="7" customFormat="1" x14ac:dyDescent="0.45">
      <c r="A24" s="7" t="s">
        <v>28</v>
      </c>
      <c r="B24" s="8">
        <v>540.5</v>
      </c>
      <c r="C24" s="8"/>
      <c r="D24" s="8"/>
      <c r="E24" s="8"/>
      <c r="F24" s="8">
        <f>SUM(B24:D24)</f>
        <v>540.5</v>
      </c>
      <c r="H24" s="15" t="s">
        <v>30</v>
      </c>
    </row>
    <row r="25" spans="1:8" x14ac:dyDescent="0.45">
      <c r="F25" s="8"/>
    </row>
    <row r="26" spans="1:8" x14ac:dyDescent="0.45">
      <c r="A26" s="16" t="s">
        <v>14</v>
      </c>
      <c r="B26" s="17">
        <f>SUM(B23:B24)</f>
        <v>830.04</v>
      </c>
      <c r="C26" s="17">
        <f>SUM(C23:C23)</f>
        <v>0</v>
      </c>
      <c r="D26" s="17">
        <f>SUM(D23:D23)</f>
        <v>0</v>
      </c>
      <c r="E26" s="17"/>
      <c r="F26" s="17">
        <f>SUM(F23:F24)</f>
        <v>830.04</v>
      </c>
      <c r="G26" s="7"/>
      <c r="H26" s="18"/>
    </row>
  </sheetData>
  <mergeCells count="4">
    <mergeCell ref="A1:H1"/>
    <mergeCell ref="A21:H21"/>
    <mergeCell ref="A15:H15"/>
    <mergeCell ref="A3:H3"/>
  </mergeCells>
  <pageMargins left="0.25" right="0.25" top="0.75" bottom="0.75" header="0.3" footer="0.3"/>
  <pageSetup orientation="landscape" horizontalDpi="1200" verticalDpi="1200" r:id="rId1"/>
  <headerFooter>
    <oddFooter>&amp;R&amp;K00-014Printed: &amp;D  &amp;T</oddFooter>
  </headerFooter>
  <ignoredErrors>
    <ignoredError sqref="C13:D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whaley</dc:creator>
  <cp:lastModifiedBy>Sarena Tuttle</cp:lastModifiedBy>
  <cp:lastPrinted>2022-06-01T15:59:40Z</cp:lastPrinted>
  <dcterms:created xsi:type="dcterms:W3CDTF">2022-02-24T17:24:54Z</dcterms:created>
  <dcterms:modified xsi:type="dcterms:W3CDTF">2022-06-01T16:01:04Z</dcterms:modified>
</cp:coreProperties>
</file>